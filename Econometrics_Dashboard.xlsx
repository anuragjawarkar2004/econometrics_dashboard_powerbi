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lculated Columns" sheetId="2" state="visible" r:id="rId2"/>
    <sheet xmlns:r="http://schemas.openxmlformats.org/officeDocument/2006/relationships" name="Regression Results" sheetId="3" state="visible" r:id="rId3"/>
    <sheet xmlns:r="http://schemas.openxmlformats.org/officeDocument/2006/relationships" name="Granger Causality" sheetId="4" state="visible" r:id="rId4"/>
    <sheet xmlns:r="http://schemas.openxmlformats.org/officeDocument/2006/relationships" name="Descriptive Statistics" sheetId="5" state="visible" r:id="rId5"/>
    <sheet xmlns:r="http://schemas.openxmlformats.org/officeDocument/2006/relationships" name="Power BI Import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6">
    <font>
      <name val="Calibri"/>
      <family val="2"/>
      <color theme="1"/>
      <sz val="11"/>
      <scheme val="minor"/>
    </font>
    <font>
      <name val="Arial"/>
      <b val="1"/>
      <color rgb="0060A5FA"/>
      <sz val="11"/>
    </font>
    <font>
      <name val="Arial"/>
      <color rgb="00E8E6F0"/>
      <sz val="10"/>
    </font>
    <font>
      <name val="Arial"/>
      <b val="1"/>
      <color rgb="0060A5FA"/>
      <sz val="14"/>
    </font>
    <font>
      <name val="Arial"/>
      <b val="1"/>
      <color rgb="00A78BFA"/>
      <sz val="11"/>
    </font>
    <font>
      <name val="Arial"/>
      <b val="1"/>
      <color rgb="0034D399"/>
      <sz val="11"/>
    </font>
    <font>
      <name val="Arial"/>
      <b val="1"/>
      <color rgb="0060A5FA"/>
      <sz val="10"/>
    </font>
    <font>
      <name val="Arial"/>
      <color rgb="00C4C2D4"/>
      <sz val="10"/>
    </font>
    <font>
      <name val="Arial"/>
      <color rgb="0034D399"/>
      <sz val="10"/>
    </font>
    <font>
      <name val="Arial"/>
      <color rgb="007B7A8E"/>
      <sz val="10"/>
    </font>
    <font>
      <name val="Arial"/>
      <color rgb="007B7A8E"/>
      <sz val="9"/>
    </font>
    <font>
      <name val="Arial"/>
      <b val="1"/>
      <color rgb="007B7A8E"/>
      <sz val="10"/>
    </font>
    <font>
      <name val="Arial"/>
      <color rgb="003A3C52"/>
      <sz val="10"/>
    </font>
    <font>
      <name val="Arial"/>
      <color rgb="004B4D6B"/>
      <sz val="10"/>
    </font>
    <font>
      <name val="Arial"/>
      <color rgb="006EE7B7"/>
      <sz val="10"/>
    </font>
    <font>
      <name val="Arial"/>
      <b val="1"/>
      <color rgb="0034D399"/>
      <sz val="10"/>
    </font>
  </fonts>
  <fills count="13">
    <fill>
      <patternFill/>
    </fill>
    <fill>
      <patternFill patternType="gray125"/>
    </fill>
    <fill>
      <patternFill patternType="solid">
        <fgColor rgb="001A1D27"/>
      </patternFill>
    </fill>
    <fill>
      <patternFill patternType="solid">
        <fgColor rgb="00141721"/>
      </patternFill>
    </fill>
    <fill>
      <patternFill patternType="solid">
        <fgColor rgb="000F1117"/>
      </patternFill>
    </fill>
    <fill>
      <patternFill patternType="solid">
        <fgColor rgb="14172100"/>
      </patternFill>
    </fill>
    <fill>
      <patternFill patternType="solid"/>
    </fill>
    <fill>
      <patternFill patternType="solid">
        <fgColor rgb="00252836"/>
      </patternFill>
    </fill>
    <fill>
      <patternFill patternType="solid">
        <fgColor rgb="00161824"/>
      </patternFill>
    </fill>
    <fill>
      <patternFill patternType="solid">
        <fgColor rgb="001E2030"/>
      </patternFill>
    </fill>
    <fill>
      <patternFill patternType="solid">
        <fgColor rgb="00064E3B"/>
      </patternFill>
    </fill>
    <fill>
      <patternFill patternType="solid">
        <fgColor rgb="00052E20"/>
      </patternFill>
    </fill>
    <fill>
      <patternFill patternType="solid">
        <fgColor rgb="00065F46"/>
      </patternFill>
    </fill>
  </fills>
  <borders count="6">
    <border>
      <left/>
      <right/>
      <top/>
      <bottom/>
      <diagonal/>
    </border>
    <border>
      <left style="thin">
        <color rgb="002E3147"/>
      </left>
      <right style="thin">
        <color rgb="002E3147"/>
      </right>
      <top style="thin">
        <color rgb="002E3147"/>
      </top>
      <bottom style="thin">
        <color rgb="002E3147"/>
      </bottom>
    </border>
    <border>
      <left/>
      <right/>
      <top style="thin">
        <color rgb="002E3147"/>
      </top>
      <bottom/>
      <diagonal/>
    </border>
    <border>
      <left/>
      <right style="thin">
        <color rgb="002E3147"/>
      </right>
      <top style="thin">
        <color rgb="002E3147"/>
      </top>
      <bottom/>
      <diagonal/>
    </border>
    <border>
      <left/>
      <right/>
      <top style="thin">
        <color rgb="002E3147"/>
      </top>
      <bottom style="thin">
        <color rgb="002E3147"/>
      </bottom>
      <diagonal/>
    </border>
    <border>
      <left/>
      <right style="thin">
        <color rgb="002E3147"/>
      </right>
      <top style="thin">
        <color rgb="002E3147"/>
      </top>
      <bottom style="thin">
        <color rgb="002E3147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164" fontId="2" fillId="3" borderId="1" applyAlignment="1" pivotButton="0" quotePrefix="0" xfId="0">
      <alignment horizontal="center"/>
    </xf>
    <xf numFmtId="1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0" fontId="2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20" customWidth="1" min="4" max="4"/>
    <col width="10" customWidth="1" min="5" max="5"/>
    <col width="18" customWidth="1" min="6" max="6"/>
  </cols>
  <sheetData>
    <row r="1" ht="36" customHeight="1">
      <c r="A1" s="1" t="inlineStr">
        <is>
          <t>Year</t>
        </is>
      </c>
      <c r="B1" s="1" t="inlineStr">
        <is>
          <t>CO2 (metric tons per capita)</t>
        </is>
      </c>
      <c r="C1" s="1" t="inlineStr">
        <is>
          <t>GDP (USD Billion)</t>
        </is>
      </c>
      <c r="D1" s="1" t="inlineStr">
        <is>
          <t>Renewable Energy (%)</t>
        </is>
      </c>
      <c r="E1" s="1" t="inlineStr">
        <is>
          <t>HCE (%)</t>
        </is>
      </c>
      <c r="F1" s="1" t="inlineStr">
        <is>
          <t>Unemployment (%)</t>
        </is>
      </c>
    </row>
    <row r="2">
      <c r="A2" s="2" t="n">
        <v>2000</v>
      </c>
      <c r="B2" s="2" t="n">
        <v>0.9409999999999999</v>
      </c>
      <c r="C2" s="2" t="n">
        <v>801</v>
      </c>
      <c r="D2" s="2" t="n">
        <v>46.9</v>
      </c>
      <c r="E2" s="2" t="n">
        <v>63.74</v>
      </c>
      <c r="F2" s="2" t="n">
        <v>7.624</v>
      </c>
    </row>
    <row r="3">
      <c r="A3" s="3" t="n">
        <v>2001</v>
      </c>
      <c r="B3" s="3" t="n">
        <v>0.9389999999999999</v>
      </c>
      <c r="C3" s="3" t="n">
        <v>839</v>
      </c>
      <c r="D3" s="3" t="n">
        <v>47.1</v>
      </c>
      <c r="E3" s="3" t="n">
        <v>64.15000000000001</v>
      </c>
      <c r="F3" s="3" t="n">
        <v>7.653</v>
      </c>
    </row>
    <row r="4">
      <c r="A4" s="2" t="n">
        <v>2002</v>
      </c>
      <c r="B4" s="2" t="n">
        <v>0.957</v>
      </c>
      <c r="C4" s="2" t="n">
        <v>871</v>
      </c>
      <c r="D4" s="2" t="n">
        <v>45.8</v>
      </c>
      <c r="E4" s="2" t="n">
        <v>63.03</v>
      </c>
      <c r="F4" s="2" t="n">
        <v>7.753</v>
      </c>
    </row>
    <row r="5">
      <c r="A5" s="3" t="n">
        <v>2003</v>
      </c>
      <c r="B5" s="3" t="n">
        <v>0.969</v>
      </c>
      <c r="C5" s="3" t="n">
        <v>940</v>
      </c>
      <c r="D5" s="3" t="n">
        <v>45.6</v>
      </c>
      <c r="E5" s="3" t="n">
        <v>61.5</v>
      </c>
      <c r="F5" s="3" t="n">
        <v>7.68</v>
      </c>
    </row>
    <row r="6">
      <c r="A6" s="2" t="n">
        <v>2004</v>
      </c>
      <c r="B6" s="2" t="n">
        <v>1.027</v>
      </c>
      <c r="C6" s="2" t="n">
        <v>1010</v>
      </c>
      <c r="D6" s="2" t="n">
        <v>44.9</v>
      </c>
      <c r="E6" s="2" t="n">
        <v>58.35</v>
      </c>
      <c r="F6" s="2" t="n">
        <v>7.625</v>
      </c>
    </row>
    <row r="7">
      <c r="A7" s="3" t="n">
        <v>2005</v>
      </c>
      <c r="B7" s="3" t="n">
        <v>1.054</v>
      </c>
      <c r="C7" s="3" t="n">
        <v>1090</v>
      </c>
      <c r="D7" s="3" t="n">
        <v>44.2</v>
      </c>
      <c r="E7" s="3" t="n">
        <v>57.38</v>
      </c>
      <c r="F7" s="3" t="n">
        <v>7.552</v>
      </c>
    </row>
    <row r="8">
      <c r="A8" s="2" t="n">
        <v>2006</v>
      </c>
      <c r="B8" s="2" t="n">
        <v>1.107</v>
      </c>
      <c r="C8" s="2" t="n">
        <v>1180</v>
      </c>
      <c r="D8" s="2" t="n">
        <v>43.2</v>
      </c>
      <c r="E8" s="2" t="n">
        <v>56.11</v>
      </c>
      <c r="F8" s="2" t="n">
        <v>7.552</v>
      </c>
    </row>
    <row r="9">
      <c r="A9" s="3" t="n">
        <v>2007</v>
      </c>
      <c r="B9" s="3" t="n">
        <v>1.187</v>
      </c>
      <c r="C9" s="3" t="n">
        <v>1270</v>
      </c>
      <c r="D9" s="3" t="n">
        <v>41.5</v>
      </c>
      <c r="E9" s="3" t="n">
        <v>55.76</v>
      </c>
      <c r="F9" s="3" t="n">
        <v>7.561</v>
      </c>
    </row>
    <row r="10">
      <c r="A10" s="2" t="n">
        <v>2008</v>
      </c>
      <c r="B10" s="2" t="n">
        <v>1.245</v>
      </c>
      <c r="C10" s="2" t="n">
        <v>1310</v>
      </c>
      <c r="D10" s="2" t="n">
        <v>39.4</v>
      </c>
      <c r="E10" s="2" t="n">
        <v>56.68</v>
      </c>
      <c r="F10" s="2" t="n">
        <v>7.656</v>
      </c>
    </row>
    <row r="11">
      <c r="A11" s="3" t="n">
        <v>2009</v>
      </c>
      <c r="B11" s="3" t="n">
        <v>1.341</v>
      </c>
      <c r="C11" s="3" t="n">
        <v>1420</v>
      </c>
      <c r="D11" s="3" t="n">
        <v>37.4</v>
      </c>
      <c r="E11" s="3" t="n">
        <v>55.96</v>
      </c>
      <c r="F11" s="3" t="n">
        <v>7.664</v>
      </c>
    </row>
    <row r="12">
      <c r="A12" s="2" t="n">
        <v>2010</v>
      </c>
      <c r="B12" s="2" t="n">
        <v>1.402</v>
      </c>
      <c r="C12" s="2" t="n">
        <v>1540</v>
      </c>
      <c r="D12" s="2" t="n">
        <v>36.2</v>
      </c>
      <c r="E12" s="2" t="n">
        <v>54.72</v>
      </c>
      <c r="F12" s="2" t="n">
        <v>7.652</v>
      </c>
    </row>
    <row r="13">
      <c r="A13" s="3" t="n">
        <v>2011</v>
      </c>
      <c r="B13" s="3" t="n">
        <v>1.467</v>
      </c>
      <c r="C13" s="3" t="n">
        <v>1620</v>
      </c>
      <c r="D13" s="3" t="n">
        <v>35</v>
      </c>
      <c r="E13" s="3" t="n">
        <v>56.21</v>
      </c>
      <c r="F13" s="3" t="n">
        <v>7.616</v>
      </c>
    </row>
    <row r="14">
      <c r="A14" s="2" t="n">
        <v>2012</v>
      </c>
      <c r="B14" s="2" t="n">
        <v>1.582</v>
      </c>
      <c r="C14" s="2" t="n">
        <v>1700</v>
      </c>
      <c r="D14" s="2" t="n">
        <v>34.8</v>
      </c>
      <c r="E14" s="2" t="n">
        <v>56.46</v>
      </c>
      <c r="F14" s="2" t="n">
        <v>7.666</v>
      </c>
    </row>
    <row r="15">
      <c r="A15" s="3" t="n">
        <v>2013</v>
      </c>
      <c r="B15" s="3" t="n">
        <v>1.608</v>
      </c>
      <c r="C15" s="3" t="n">
        <v>1810</v>
      </c>
      <c r="D15" s="3" t="n">
        <v>34.9</v>
      </c>
      <c r="E15" s="3" t="n">
        <v>57.65</v>
      </c>
      <c r="F15" s="3" t="n">
        <v>7.711</v>
      </c>
    </row>
    <row r="16">
      <c r="A16" s="2" t="n">
        <v>2014</v>
      </c>
      <c r="B16" s="2" t="n">
        <v>1.709</v>
      </c>
      <c r="C16" s="2" t="n">
        <v>1950</v>
      </c>
      <c r="D16" s="2" t="n">
        <v>33.9</v>
      </c>
      <c r="E16" s="2" t="n">
        <v>58.13</v>
      </c>
      <c r="F16" s="2" t="n">
        <v>7.674</v>
      </c>
    </row>
    <row r="17">
      <c r="A17" s="3" t="n">
        <v>2015</v>
      </c>
      <c r="B17" s="3" t="n">
        <v>1.702</v>
      </c>
      <c r="C17" s="3" t="n">
        <v>2100</v>
      </c>
      <c r="D17" s="3" t="n">
        <v>33.4</v>
      </c>
      <c r="E17" s="3" t="n">
        <v>59.01</v>
      </c>
      <c r="F17" s="3" t="n">
        <v>7.631</v>
      </c>
    </row>
    <row r="18">
      <c r="A18" s="2" t="n">
        <v>2016</v>
      </c>
      <c r="B18" s="2" t="n">
        <v>1.714</v>
      </c>
      <c r="C18" s="2" t="n">
        <v>2280</v>
      </c>
      <c r="D18" s="2" t="n">
        <v>33</v>
      </c>
      <c r="E18" s="2" t="n">
        <v>59.3</v>
      </c>
      <c r="F18" s="2" t="n">
        <v>7.601</v>
      </c>
    </row>
    <row r="19">
      <c r="A19" s="3" t="n">
        <v>2017</v>
      </c>
      <c r="B19" s="3" t="n">
        <v>1.79</v>
      </c>
      <c r="C19" s="3" t="n">
        <v>2430</v>
      </c>
      <c r="D19" s="3" t="n">
        <v>32.5</v>
      </c>
      <c r="E19" s="3" t="n">
        <v>58.73</v>
      </c>
      <c r="F19" s="3" t="n">
        <v>7.618</v>
      </c>
    </row>
    <row r="20">
      <c r="A20" s="2" t="n">
        <v>2018</v>
      </c>
      <c r="B20" s="2" t="n">
        <v>1.872</v>
      </c>
      <c r="C20" s="2" t="n">
        <v>2590</v>
      </c>
      <c r="D20" s="2" t="n">
        <v>32.9</v>
      </c>
      <c r="E20" s="2" t="n">
        <v>59.29</v>
      </c>
      <c r="F20" s="2" t="n">
        <v>7.652</v>
      </c>
    </row>
    <row r="21">
      <c r="A21" s="3" t="n">
        <v>2019</v>
      </c>
      <c r="B21" s="3" t="n">
        <v>1.83</v>
      </c>
      <c r="C21" s="3" t="n">
        <v>2690</v>
      </c>
      <c r="D21" s="3" t="n">
        <v>33.5</v>
      </c>
      <c r="E21" s="3" t="n">
        <v>60.91</v>
      </c>
      <c r="F21" s="3" t="n">
        <v>6.51</v>
      </c>
    </row>
    <row r="22">
      <c r="A22" s="2" t="n">
        <v>2020</v>
      </c>
      <c r="B22" s="2" t="n">
        <v>1.653</v>
      </c>
      <c r="C22" s="2" t="n">
        <v>2530</v>
      </c>
      <c r="D22" s="2" t="n">
        <v>36.1</v>
      </c>
      <c r="E22" s="2" t="n">
        <v>61.1</v>
      </c>
      <c r="F22" s="2" t="n">
        <v>7.859</v>
      </c>
    </row>
    <row r="23">
      <c r="A23" s="3" t="n">
        <v>2021</v>
      </c>
      <c r="B23" s="3" t="n">
        <v>1.802</v>
      </c>
      <c r="C23" s="3" t="n">
        <v>2780</v>
      </c>
      <c r="D23" s="3" t="n">
        <v>34.9</v>
      </c>
      <c r="E23" s="3" t="n">
        <v>60.95</v>
      </c>
      <c r="F23" s="3" t="n">
        <v>6.38</v>
      </c>
    </row>
    <row r="24">
      <c r="A24" s="2" t="n">
        <v>2022</v>
      </c>
      <c r="B24" s="2" t="n">
        <v>1.923</v>
      </c>
      <c r="C24" s="2" t="n">
        <v>2970</v>
      </c>
      <c r="D24" s="2" t="n">
        <v>38.5</v>
      </c>
      <c r="E24" s="2" t="n">
        <v>60.94</v>
      </c>
      <c r="F24" s="2" t="n">
        <v>4.822</v>
      </c>
    </row>
    <row r="25">
      <c r="A25" s="3" t="n">
        <v>2023</v>
      </c>
      <c r="B25" s="3" t="n">
        <v>2.055</v>
      </c>
      <c r="C25" s="3" t="n">
        <v>3220</v>
      </c>
      <c r="D25" s="3" t="n">
        <v>38.1</v>
      </c>
      <c r="E25" s="3" t="n">
        <v>60.34</v>
      </c>
      <c r="F25" s="3" t="n">
        <v>4.172</v>
      </c>
    </row>
    <row r="26">
      <c r="A26" s="2" t="n">
        <v>2024</v>
      </c>
      <c r="B26" s="2" t="n">
        <v>2.12</v>
      </c>
      <c r="C26" s="2" t="n">
        <v>3570</v>
      </c>
      <c r="D26" s="2" t="n">
        <v>39.2</v>
      </c>
      <c r="E26" s="2" t="n">
        <v>60.1</v>
      </c>
      <c r="F26" s="2" t="n">
        <v>4.05</v>
      </c>
    </row>
    <row r="27">
      <c r="A27" s="3" t="n">
        <v>2025</v>
      </c>
      <c r="B27" s="3" t="n">
        <v>2.18</v>
      </c>
      <c r="C27" s="3" t="n">
        <v>3870</v>
      </c>
      <c r="D27" s="3" t="n">
        <v>40.1</v>
      </c>
      <c r="E27" s="3" t="n">
        <v>59.9</v>
      </c>
      <c r="F27" s="3" t="n">
        <v>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2" customWidth="1" min="9" max="9"/>
    <col width="22" customWidth="1" min="10" max="10"/>
    <col width="14" customWidth="1" min="11" max="11"/>
    <col width="14" customWidth="1" min="12" max="12"/>
    <col width="12" customWidth="1" min="13" max="13"/>
    <col width="14" customWidth="1" min="14" max="14"/>
  </cols>
  <sheetData>
    <row r="1" ht="36" customHeight="1">
      <c r="A1" s="1" t="inlineStr">
        <is>
          <t>Year</t>
        </is>
      </c>
      <c r="B1" s="1" t="inlineStr">
        <is>
          <t>CO2</t>
        </is>
      </c>
      <c r="C1" s="1" t="inlineStr">
        <is>
          <t>GDP (B)</t>
        </is>
      </c>
      <c r="D1" s="1" t="inlineStr">
        <is>
          <t>RENE (%)</t>
        </is>
      </c>
      <c r="E1" s="1" t="inlineStr">
        <is>
          <t>HCE (%)</t>
        </is>
      </c>
      <c r="F1" s="1" t="inlineStr">
        <is>
          <t>UN (%)</t>
        </is>
      </c>
      <c r="G1" s="1" t="inlineStr">
        <is>
          <t>CO2 YoY %</t>
        </is>
      </c>
      <c r="H1" s="1" t="inlineStr">
        <is>
          <t>GDP YoY %</t>
        </is>
      </c>
      <c r="I1" s="1" t="inlineStr">
        <is>
          <t>CO2 Index (2000=100)</t>
        </is>
      </c>
      <c r="J1" s="1" t="inlineStr">
        <is>
          <t>GDP Index (2000=100)</t>
        </is>
      </c>
      <c r="K1" s="1" t="inlineStr">
        <is>
          <t>RENE Index</t>
        </is>
      </c>
      <c r="L1" s="1" t="inlineStr">
        <is>
          <t>HCE Index</t>
        </is>
      </c>
      <c r="M1" s="1" t="inlineStr">
        <is>
          <t>UN Index</t>
        </is>
      </c>
      <c r="N1" s="1" t="inlineStr">
        <is>
          <t>Fitted CO2</t>
        </is>
      </c>
    </row>
    <row r="2">
      <c r="A2" s="2" t="n">
        <v>2000</v>
      </c>
      <c r="B2" s="2" t="n">
        <v>0.9409999999999999</v>
      </c>
      <c r="C2" s="2" t="n">
        <v>801</v>
      </c>
      <c r="D2" s="2" t="n">
        <v>46.9</v>
      </c>
      <c r="E2" s="2" t="n">
        <v>63.74</v>
      </c>
      <c r="F2" s="2" t="n">
        <v>7.624</v>
      </c>
      <c r="G2" s="4" t="inlineStr">
        <is>
          <t>—</t>
        </is>
      </c>
      <c r="H2" s="4" t="inlineStr">
        <is>
          <t>—</t>
        </is>
      </c>
      <c r="I2" s="5">
        <f>B2/B2*100</f>
        <v/>
      </c>
      <c r="J2" s="5">
        <f>C2/C2*100</f>
        <v/>
      </c>
      <c r="K2" s="5">
        <f>D2/D2*100</f>
        <v/>
      </c>
      <c r="L2" s="5">
        <f>E2/E2*100</f>
        <v/>
      </c>
      <c r="M2" s="5">
        <f>F2/F2*100</f>
        <v/>
      </c>
      <c r="N2" s="2" t="n">
        <v>0.961</v>
      </c>
    </row>
    <row r="3">
      <c r="A3" s="3" t="n">
        <v>2001</v>
      </c>
      <c r="B3" s="3" t="n">
        <v>0.9389999999999999</v>
      </c>
      <c r="C3" s="3" t="n">
        <v>839</v>
      </c>
      <c r="D3" s="3" t="n">
        <v>47.1</v>
      </c>
      <c r="E3" s="3" t="n">
        <v>64.15000000000001</v>
      </c>
      <c r="F3" s="3" t="n">
        <v>7.653</v>
      </c>
      <c r="G3" s="6">
        <f>(B3-B2)/B2</f>
        <v/>
      </c>
      <c r="H3" s="6">
        <f>(C3-C2)/C2</f>
        <v/>
      </c>
      <c r="I3" s="7">
        <f>B3/B2*100</f>
        <v/>
      </c>
      <c r="J3" s="7">
        <f>C3/C2*100</f>
        <v/>
      </c>
      <c r="K3" s="7">
        <f>D3/D2*100</f>
        <v/>
      </c>
      <c r="L3" s="7">
        <f>E3/E2*100</f>
        <v/>
      </c>
      <c r="M3" s="7">
        <f>F3/F2*100</f>
        <v/>
      </c>
      <c r="N3" s="3" t="n">
        <v>0.952</v>
      </c>
    </row>
    <row r="4">
      <c r="A4" s="2" t="n">
        <v>2002</v>
      </c>
      <c r="B4" s="2" t="n">
        <v>0.957</v>
      </c>
      <c r="C4" s="2" t="n">
        <v>871</v>
      </c>
      <c r="D4" s="2" t="n">
        <v>45.8</v>
      </c>
      <c r="E4" s="2" t="n">
        <v>63.03</v>
      </c>
      <c r="F4" s="2" t="n">
        <v>7.753</v>
      </c>
      <c r="G4" s="8">
        <f>(B4-B3)/B3</f>
        <v/>
      </c>
      <c r="H4" s="8">
        <f>(C4-C3)/C3</f>
        <v/>
      </c>
      <c r="I4" s="5">
        <f>B4/B2*100</f>
        <v/>
      </c>
      <c r="J4" s="5">
        <f>C4/C2*100</f>
        <v/>
      </c>
      <c r="K4" s="5">
        <f>D4/D2*100</f>
        <v/>
      </c>
      <c r="L4" s="5">
        <f>E4/E2*100</f>
        <v/>
      </c>
      <c r="M4" s="5">
        <f>F4/F2*100</f>
        <v/>
      </c>
      <c r="N4" s="2" t="n">
        <v>0.953</v>
      </c>
    </row>
    <row r="5">
      <c r="A5" s="3" t="n">
        <v>2003</v>
      </c>
      <c r="B5" s="3" t="n">
        <v>0.969</v>
      </c>
      <c r="C5" s="3" t="n">
        <v>940</v>
      </c>
      <c r="D5" s="3" t="n">
        <v>45.6</v>
      </c>
      <c r="E5" s="3" t="n">
        <v>61.5</v>
      </c>
      <c r="F5" s="3" t="n">
        <v>7.68</v>
      </c>
      <c r="G5" s="6">
        <f>(B5-B4)/B4</f>
        <v/>
      </c>
      <c r="H5" s="6">
        <f>(C5-C4)/C4</f>
        <v/>
      </c>
      <c r="I5" s="7">
        <f>B5/B2*100</f>
        <v/>
      </c>
      <c r="J5" s="7">
        <f>C5/C2*100</f>
        <v/>
      </c>
      <c r="K5" s="7">
        <f>D5/D2*100</f>
        <v/>
      </c>
      <c r="L5" s="7">
        <f>E5/E2*100</f>
        <v/>
      </c>
      <c r="M5" s="7">
        <f>F5/F2*100</f>
        <v/>
      </c>
      <c r="N5" s="3" t="n">
        <v>0.977</v>
      </c>
    </row>
    <row r="6">
      <c r="A6" s="2" t="n">
        <v>2004</v>
      </c>
      <c r="B6" s="2" t="n">
        <v>1.027</v>
      </c>
      <c r="C6" s="2" t="n">
        <v>1010</v>
      </c>
      <c r="D6" s="2" t="n">
        <v>44.9</v>
      </c>
      <c r="E6" s="2" t="n">
        <v>58.35</v>
      </c>
      <c r="F6" s="2" t="n">
        <v>7.625</v>
      </c>
      <c r="G6" s="8">
        <f>(B6-B5)/B5</f>
        <v/>
      </c>
      <c r="H6" s="8">
        <f>(C6-C5)/C5</f>
        <v/>
      </c>
      <c r="I6" s="5">
        <f>B6/B2*100</f>
        <v/>
      </c>
      <c r="J6" s="5">
        <f>C6/C2*100</f>
        <v/>
      </c>
      <c r="K6" s="5">
        <f>D6/D2*100</f>
        <v/>
      </c>
      <c r="L6" s="5">
        <f>E6/E2*100</f>
        <v/>
      </c>
      <c r="M6" s="5">
        <f>F6/F2*100</f>
        <v/>
      </c>
      <c r="N6" s="2" t="n">
        <v>1.018</v>
      </c>
    </row>
    <row r="7">
      <c r="A7" s="3" t="n">
        <v>2005</v>
      </c>
      <c r="B7" s="3" t="n">
        <v>1.054</v>
      </c>
      <c r="C7" s="3" t="n">
        <v>1090</v>
      </c>
      <c r="D7" s="3" t="n">
        <v>44.2</v>
      </c>
      <c r="E7" s="3" t="n">
        <v>57.38</v>
      </c>
      <c r="F7" s="3" t="n">
        <v>7.552</v>
      </c>
      <c r="G7" s="6">
        <f>(B7-B6)/B6</f>
        <v/>
      </c>
      <c r="H7" s="6">
        <f>(C7-C6)/C6</f>
        <v/>
      </c>
      <c r="I7" s="7">
        <f>B7/B2*100</f>
        <v/>
      </c>
      <c r="J7" s="7">
        <f>C7/C2*100</f>
        <v/>
      </c>
      <c r="K7" s="7">
        <f>D7/D2*100</f>
        <v/>
      </c>
      <c r="L7" s="7">
        <f>E7/E2*100</f>
        <v/>
      </c>
      <c r="M7" s="7">
        <f>F7/F2*100</f>
        <v/>
      </c>
      <c r="N7" s="3" t="n">
        <v>1.061</v>
      </c>
    </row>
    <row r="8">
      <c r="A8" s="2" t="n">
        <v>2006</v>
      </c>
      <c r="B8" s="2" t="n">
        <v>1.107</v>
      </c>
      <c r="C8" s="2" t="n">
        <v>1180</v>
      </c>
      <c r="D8" s="2" t="n">
        <v>43.2</v>
      </c>
      <c r="E8" s="2" t="n">
        <v>56.11</v>
      </c>
      <c r="F8" s="2" t="n">
        <v>7.552</v>
      </c>
      <c r="G8" s="8">
        <f>(B8-B7)/B7</f>
        <v/>
      </c>
      <c r="H8" s="8">
        <f>(C8-C7)/C7</f>
        <v/>
      </c>
      <c r="I8" s="5">
        <f>B8/B2*100</f>
        <v/>
      </c>
      <c r="J8" s="5">
        <f>C8/C2*100</f>
        <v/>
      </c>
      <c r="K8" s="5">
        <f>D8/D2*100</f>
        <v/>
      </c>
      <c r="L8" s="5">
        <f>E8/E2*100</f>
        <v/>
      </c>
      <c r="M8" s="5">
        <f>F8/F2*100</f>
        <v/>
      </c>
      <c r="N8" s="2" t="n">
        <v>1.104</v>
      </c>
    </row>
    <row r="9">
      <c r="A9" s="3" t="n">
        <v>2007</v>
      </c>
      <c r="B9" s="3" t="n">
        <v>1.187</v>
      </c>
      <c r="C9" s="3" t="n">
        <v>1270</v>
      </c>
      <c r="D9" s="3" t="n">
        <v>41.5</v>
      </c>
      <c r="E9" s="3" t="n">
        <v>55.76</v>
      </c>
      <c r="F9" s="3" t="n">
        <v>7.561</v>
      </c>
      <c r="G9" s="6">
        <f>(B9-B8)/B8</f>
        <v/>
      </c>
      <c r="H9" s="6">
        <f>(C9-C8)/C8</f>
        <v/>
      </c>
      <c r="I9" s="7">
        <f>B9/B2*100</f>
        <v/>
      </c>
      <c r="J9" s="7">
        <f>C9/C2*100</f>
        <v/>
      </c>
      <c r="K9" s="7">
        <f>D9/D2*100</f>
        <v/>
      </c>
      <c r="L9" s="7">
        <f>E9/E2*100</f>
        <v/>
      </c>
      <c r="M9" s="7">
        <f>F9/F2*100</f>
        <v/>
      </c>
      <c r="N9" s="3" t="n">
        <v>1.178</v>
      </c>
    </row>
    <row r="10">
      <c r="A10" s="2" t="n">
        <v>2008</v>
      </c>
      <c r="B10" s="2" t="n">
        <v>1.245</v>
      </c>
      <c r="C10" s="2" t="n">
        <v>1310</v>
      </c>
      <c r="D10" s="2" t="n">
        <v>39.4</v>
      </c>
      <c r="E10" s="2" t="n">
        <v>56.68</v>
      </c>
      <c r="F10" s="2" t="n">
        <v>7.656</v>
      </c>
      <c r="G10" s="8">
        <f>(B10-B9)/B9</f>
        <v/>
      </c>
      <c r="H10" s="8">
        <f>(C10-C9)/C9</f>
        <v/>
      </c>
      <c r="I10" s="5">
        <f>B10/B2*100</f>
        <v/>
      </c>
      <c r="J10" s="5">
        <f>C10/C2*100</f>
        <v/>
      </c>
      <c r="K10" s="5">
        <f>D10/D2*100</f>
        <v/>
      </c>
      <c r="L10" s="5">
        <f>E10/E2*100</f>
        <v/>
      </c>
      <c r="M10" s="5">
        <f>F10/F2*100</f>
        <v/>
      </c>
      <c r="N10" s="2" t="n">
        <v>1.231</v>
      </c>
    </row>
    <row r="11">
      <c r="A11" s="3" t="n">
        <v>2009</v>
      </c>
      <c r="B11" s="3" t="n">
        <v>1.341</v>
      </c>
      <c r="C11" s="3" t="n">
        <v>1420</v>
      </c>
      <c r="D11" s="3" t="n">
        <v>37.4</v>
      </c>
      <c r="E11" s="3" t="n">
        <v>55.96</v>
      </c>
      <c r="F11" s="3" t="n">
        <v>7.664</v>
      </c>
      <c r="G11" s="6">
        <f>(B11-B10)/B10</f>
        <v/>
      </c>
      <c r="H11" s="6">
        <f>(C11-C10)/C10</f>
        <v/>
      </c>
      <c r="I11" s="7">
        <f>B11/B2*100</f>
        <v/>
      </c>
      <c r="J11" s="7">
        <f>C11/C2*100</f>
        <v/>
      </c>
      <c r="K11" s="7">
        <f>D11/D2*100</f>
        <v/>
      </c>
      <c r="L11" s="7">
        <f>E11/E2*100</f>
        <v/>
      </c>
      <c r="M11" s="7">
        <f>F11/F2*100</f>
        <v/>
      </c>
      <c r="N11" s="3" t="n">
        <v>1.328</v>
      </c>
    </row>
    <row r="12">
      <c r="A12" s="2" t="n">
        <v>2010</v>
      </c>
      <c r="B12" s="2" t="n">
        <v>1.402</v>
      </c>
      <c r="C12" s="2" t="n">
        <v>1540</v>
      </c>
      <c r="D12" s="2" t="n">
        <v>36.2</v>
      </c>
      <c r="E12" s="2" t="n">
        <v>54.72</v>
      </c>
      <c r="F12" s="2" t="n">
        <v>7.652</v>
      </c>
      <c r="G12" s="8">
        <f>(B12-B11)/B11</f>
        <v/>
      </c>
      <c r="H12" s="8">
        <f>(C12-C11)/C11</f>
        <v/>
      </c>
      <c r="I12" s="5">
        <f>B12/B2*100</f>
        <v/>
      </c>
      <c r="J12" s="5">
        <f>C12/C2*100</f>
        <v/>
      </c>
      <c r="K12" s="5">
        <f>D12/D2*100</f>
        <v/>
      </c>
      <c r="L12" s="5">
        <f>E12/E2*100</f>
        <v/>
      </c>
      <c r="M12" s="5">
        <f>F12/F2*100</f>
        <v/>
      </c>
      <c r="N12" s="2" t="n">
        <v>1.419</v>
      </c>
    </row>
    <row r="13">
      <c r="A13" s="3" t="n">
        <v>2011</v>
      </c>
      <c r="B13" s="3" t="n">
        <v>1.467</v>
      </c>
      <c r="C13" s="3" t="n">
        <v>1620</v>
      </c>
      <c r="D13" s="3" t="n">
        <v>35</v>
      </c>
      <c r="E13" s="3" t="n">
        <v>56.21</v>
      </c>
      <c r="F13" s="3" t="n">
        <v>7.616</v>
      </c>
      <c r="G13" s="6">
        <f>(B13-B12)/B12</f>
        <v/>
      </c>
      <c r="H13" s="6">
        <f>(C13-C12)/C12</f>
        <v/>
      </c>
      <c r="I13" s="7">
        <f>B13/B2*100</f>
        <v/>
      </c>
      <c r="J13" s="7">
        <f>C13/C2*100</f>
        <v/>
      </c>
      <c r="K13" s="7">
        <f>D13/D2*100</f>
        <v/>
      </c>
      <c r="L13" s="7">
        <f>E13/E2*100</f>
        <v/>
      </c>
      <c r="M13" s="7">
        <f>F13/F2*100</f>
        <v/>
      </c>
      <c r="N13" s="3" t="n">
        <v>1.484</v>
      </c>
    </row>
    <row r="14">
      <c r="A14" s="2" t="n">
        <v>2012</v>
      </c>
      <c r="B14" s="2" t="n">
        <v>1.582</v>
      </c>
      <c r="C14" s="2" t="n">
        <v>1700</v>
      </c>
      <c r="D14" s="2" t="n">
        <v>34.8</v>
      </c>
      <c r="E14" s="2" t="n">
        <v>56.46</v>
      </c>
      <c r="F14" s="2" t="n">
        <v>7.666</v>
      </c>
      <c r="G14" s="8">
        <f>(B14-B13)/B13</f>
        <v/>
      </c>
      <c r="H14" s="8">
        <f>(C14-C13)/C13</f>
        <v/>
      </c>
      <c r="I14" s="5">
        <f>B14/B2*100</f>
        <v/>
      </c>
      <c r="J14" s="5">
        <f>C14/C2*100</f>
        <v/>
      </c>
      <c r="K14" s="5">
        <f>D14/D2*100</f>
        <v/>
      </c>
      <c r="L14" s="5">
        <f>E14/E2*100</f>
        <v/>
      </c>
      <c r="M14" s="5">
        <f>F14/F2*100</f>
        <v/>
      </c>
      <c r="N14" s="2" t="n">
        <v>1.566</v>
      </c>
    </row>
    <row r="15">
      <c r="A15" s="3" t="n">
        <v>2013</v>
      </c>
      <c r="B15" s="3" t="n">
        <v>1.608</v>
      </c>
      <c r="C15" s="3" t="n">
        <v>1810</v>
      </c>
      <c r="D15" s="3" t="n">
        <v>34.9</v>
      </c>
      <c r="E15" s="3" t="n">
        <v>57.65</v>
      </c>
      <c r="F15" s="3" t="n">
        <v>7.711</v>
      </c>
      <c r="G15" s="6">
        <f>(B15-B14)/B14</f>
        <v/>
      </c>
      <c r="H15" s="6">
        <f>(C15-C14)/C14</f>
        <v/>
      </c>
      <c r="I15" s="7">
        <f>B15/B2*100</f>
        <v/>
      </c>
      <c r="J15" s="7">
        <f>C15/C2*100</f>
        <v/>
      </c>
      <c r="K15" s="7">
        <f>D15/D2*100</f>
        <v/>
      </c>
      <c r="L15" s="7">
        <f>E15/E2*100</f>
        <v/>
      </c>
      <c r="M15" s="7">
        <f>F15/F2*100</f>
        <v/>
      </c>
      <c r="N15" s="3" t="n">
        <v>1.598</v>
      </c>
    </row>
    <row r="16">
      <c r="A16" s="2" t="n">
        <v>2014</v>
      </c>
      <c r="B16" s="2" t="n">
        <v>1.709</v>
      </c>
      <c r="C16" s="2" t="n">
        <v>1950</v>
      </c>
      <c r="D16" s="2" t="n">
        <v>33.9</v>
      </c>
      <c r="E16" s="2" t="n">
        <v>58.13</v>
      </c>
      <c r="F16" s="2" t="n">
        <v>7.674</v>
      </c>
      <c r="G16" s="8">
        <f>(B16-B15)/B15</f>
        <v/>
      </c>
      <c r="H16" s="8">
        <f>(C16-C15)/C15</f>
        <v/>
      </c>
      <c r="I16" s="5">
        <f>B16/B2*100</f>
        <v/>
      </c>
      <c r="J16" s="5">
        <f>C16/C2*100</f>
        <v/>
      </c>
      <c r="K16" s="5">
        <f>D16/D2*100</f>
        <v/>
      </c>
      <c r="L16" s="5">
        <f>E16/E2*100</f>
        <v/>
      </c>
      <c r="M16" s="5">
        <f>F16/F2*100</f>
        <v/>
      </c>
      <c r="N16" s="2" t="n">
        <v>1.705</v>
      </c>
    </row>
    <row r="17">
      <c r="A17" s="3" t="n">
        <v>2015</v>
      </c>
      <c r="B17" s="3" t="n">
        <v>1.702</v>
      </c>
      <c r="C17" s="3" t="n">
        <v>2100</v>
      </c>
      <c r="D17" s="3" t="n">
        <v>33.4</v>
      </c>
      <c r="E17" s="3" t="n">
        <v>59.01</v>
      </c>
      <c r="F17" s="3" t="n">
        <v>7.631</v>
      </c>
      <c r="G17" s="6">
        <f>(B17-B16)/B16</f>
        <v/>
      </c>
      <c r="H17" s="6">
        <f>(C17-C16)/C16</f>
        <v/>
      </c>
      <c r="I17" s="7">
        <f>B17/B2*100</f>
        <v/>
      </c>
      <c r="J17" s="7">
        <f>C17/C2*100</f>
        <v/>
      </c>
      <c r="K17" s="7">
        <f>D17/D2*100</f>
        <v/>
      </c>
      <c r="L17" s="7">
        <f>E17/E2*100</f>
        <v/>
      </c>
      <c r="M17" s="7">
        <f>F17/F2*100</f>
        <v/>
      </c>
      <c r="N17" s="3" t="n">
        <v>1.715</v>
      </c>
    </row>
    <row r="18">
      <c r="A18" s="2" t="n">
        <v>2016</v>
      </c>
      <c r="B18" s="2" t="n">
        <v>1.714</v>
      </c>
      <c r="C18" s="2" t="n">
        <v>2280</v>
      </c>
      <c r="D18" s="2" t="n">
        <v>33</v>
      </c>
      <c r="E18" s="2" t="n">
        <v>59.3</v>
      </c>
      <c r="F18" s="2" t="n">
        <v>7.601</v>
      </c>
      <c r="G18" s="8">
        <f>(B18-B17)/B17</f>
        <v/>
      </c>
      <c r="H18" s="8">
        <f>(C18-C17)/C17</f>
        <v/>
      </c>
      <c r="I18" s="5">
        <f>B18/B2*100</f>
        <v/>
      </c>
      <c r="J18" s="5">
        <f>C18/C2*100</f>
        <v/>
      </c>
      <c r="K18" s="5">
        <f>D18/D2*100</f>
        <v/>
      </c>
      <c r="L18" s="5">
        <f>E18/E2*100</f>
        <v/>
      </c>
      <c r="M18" s="5">
        <f>F18/F2*100</f>
        <v/>
      </c>
      <c r="N18" s="2" t="n">
        <v>1.72</v>
      </c>
    </row>
    <row r="19">
      <c r="A19" s="3" t="n">
        <v>2017</v>
      </c>
      <c r="B19" s="3" t="n">
        <v>1.79</v>
      </c>
      <c r="C19" s="3" t="n">
        <v>2430</v>
      </c>
      <c r="D19" s="3" t="n">
        <v>32.5</v>
      </c>
      <c r="E19" s="3" t="n">
        <v>58.73</v>
      </c>
      <c r="F19" s="3" t="n">
        <v>7.618</v>
      </c>
      <c r="G19" s="6">
        <f>(B19-B18)/B18</f>
        <v/>
      </c>
      <c r="H19" s="6">
        <f>(C19-C18)/C18</f>
        <v/>
      </c>
      <c r="I19" s="7">
        <f>B19/B2*100</f>
        <v/>
      </c>
      <c r="J19" s="7">
        <f>C19/C2*100</f>
        <v/>
      </c>
      <c r="K19" s="7">
        <f>D19/D2*100</f>
        <v/>
      </c>
      <c r="L19" s="7">
        <f>E19/E2*100</f>
        <v/>
      </c>
      <c r="M19" s="7">
        <f>F19/F2*100</f>
        <v/>
      </c>
      <c r="N19" s="3" t="n">
        <v>1.785</v>
      </c>
    </row>
    <row r="20">
      <c r="A20" s="2" t="n">
        <v>2018</v>
      </c>
      <c r="B20" s="2" t="n">
        <v>1.872</v>
      </c>
      <c r="C20" s="2" t="n">
        <v>2590</v>
      </c>
      <c r="D20" s="2" t="n">
        <v>32.9</v>
      </c>
      <c r="E20" s="2" t="n">
        <v>59.29</v>
      </c>
      <c r="F20" s="2" t="n">
        <v>7.652</v>
      </c>
      <c r="G20" s="8">
        <f>(B20-B19)/B19</f>
        <v/>
      </c>
      <c r="H20" s="8">
        <f>(C20-C19)/C19</f>
        <v/>
      </c>
      <c r="I20" s="5">
        <f>B20/B2*100</f>
        <v/>
      </c>
      <c r="J20" s="5">
        <f>C20/C2*100</f>
        <v/>
      </c>
      <c r="K20" s="5">
        <f>D20/D2*100</f>
        <v/>
      </c>
      <c r="L20" s="5">
        <f>E20/E2*100</f>
        <v/>
      </c>
      <c r="M20" s="5">
        <f>F20/F2*100</f>
        <v/>
      </c>
      <c r="N20" s="2" t="n">
        <v>1.868</v>
      </c>
    </row>
    <row r="21">
      <c r="A21" s="3" t="n">
        <v>2019</v>
      </c>
      <c r="B21" s="3" t="n">
        <v>1.83</v>
      </c>
      <c r="C21" s="3" t="n">
        <v>2690</v>
      </c>
      <c r="D21" s="3" t="n">
        <v>33.5</v>
      </c>
      <c r="E21" s="3" t="n">
        <v>60.91</v>
      </c>
      <c r="F21" s="3" t="n">
        <v>6.51</v>
      </c>
      <c r="G21" s="6">
        <f>(B21-B20)/B20</f>
        <v/>
      </c>
      <c r="H21" s="6">
        <f>(C21-C20)/C20</f>
        <v/>
      </c>
      <c r="I21" s="7">
        <f>B21/B2*100</f>
        <v/>
      </c>
      <c r="J21" s="7">
        <f>C21/C2*100</f>
        <v/>
      </c>
      <c r="K21" s="7">
        <f>D21/D2*100</f>
        <v/>
      </c>
      <c r="L21" s="7">
        <f>E21/E2*100</f>
        <v/>
      </c>
      <c r="M21" s="7">
        <f>F21/F2*100</f>
        <v/>
      </c>
      <c r="N21" s="3" t="n">
        <v>1.847</v>
      </c>
    </row>
    <row r="22">
      <c r="A22" s="2" t="n">
        <v>2020</v>
      </c>
      <c r="B22" s="2" t="n">
        <v>1.653</v>
      </c>
      <c r="C22" s="2" t="n">
        <v>2530</v>
      </c>
      <c r="D22" s="2" t="n">
        <v>36.1</v>
      </c>
      <c r="E22" s="2" t="n">
        <v>61.1</v>
      </c>
      <c r="F22" s="2" t="n">
        <v>7.859</v>
      </c>
      <c r="G22" s="8">
        <f>(B22-B21)/B21</f>
        <v/>
      </c>
      <c r="H22" s="8">
        <f>(C22-C21)/C21</f>
        <v/>
      </c>
      <c r="I22" s="5">
        <f>B22/B2*100</f>
        <v/>
      </c>
      <c r="J22" s="5">
        <f>C22/C2*100</f>
        <v/>
      </c>
      <c r="K22" s="5">
        <f>D22/D2*100</f>
        <v/>
      </c>
      <c r="L22" s="5">
        <f>E22/E2*100</f>
        <v/>
      </c>
      <c r="M22" s="5">
        <f>F22/F2*100</f>
        <v/>
      </c>
      <c r="N22" s="2" t="n">
        <v>1.64</v>
      </c>
    </row>
    <row r="23">
      <c r="A23" s="3" t="n">
        <v>2021</v>
      </c>
      <c r="B23" s="3" t="n">
        <v>1.802</v>
      </c>
      <c r="C23" s="3" t="n">
        <v>2780</v>
      </c>
      <c r="D23" s="3" t="n">
        <v>34.9</v>
      </c>
      <c r="E23" s="3" t="n">
        <v>60.95</v>
      </c>
      <c r="F23" s="3" t="n">
        <v>6.38</v>
      </c>
      <c r="G23" s="6">
        <f>(B23-B22)/B22</f>
        <v/>
      </c>
      <c r="H23" s="6">
        <f>(C23-C22)/C22</f>
        <v/>
      </c>
      <c r="I23" s="7">
        <f>B23/B2*100</f>
        <v/>
      </c>
      <c r="J23" s="7">
        <f>C23/C2*100</f>
        <v/>
      </c>
      <c r="K23" s="7">
        <f>D23/D2*100</f>
        <v/>
      </c>
      <c r="L23" s="7">
        <f>E23/E2*100</f>
        <v/>
      </c>
      <c r="M23" s="7">
        <f>F23/F2*100</f>
        <v/>
      </c>
      <c r="N23" s="3" t="n">
        <v>1.799</v>
      </c>
    </row>
    <row r="24">
      <c r="A24" s="2" t="n">
        <v>2022</v>
      </c>
      <c r="B24" s="2" t="n">
        <v>1.923</v>
      </c>
      <c r="C24" s="2" t="n">
        <v>2970</v>
      </c>
      <c r="D24" s="2" t="n">
        <v>38.5</v>
      </c>
      <c r="E24" s="2" t="n">
        <v>60.94</v>
      </c>
      <c r="F24" s="2" t="n">
        <v>4.822</v>
      </c>
      <c r="G24" s="8">
        <f>(B24-B23)/B23</f>
        <v/>
      </c>
      <c r="H24" s="8">
        <f>(C24-C23)/C23</f>
        <v/>
      </c>
      <c r="I24" s="5">
        <f>B24/B2*100</f>
        <v/>
      </c>
      <c r="J24" s="5">
        <f>C24/C2*100</f>
        <v/>
      </c>
      <c r="K24" s="5">
        <f>D24/D2*100</f>
        <v/>
      </c>
      <c r="L24" s="5">
        <f>E24/E2*100</f>
        <v/>
      </c>
      <c r="M24" s="5">
        <f>F24/F2*100</f>
        <v/>
      </c>
      <c r="N24" s="2" t="n">
        <v>1.929</v>
      </c>
    </row>
    <row r="25">
      <c r="A25" s="3" t="n">
        <v>2023</v>
      </c>
      <c r="B25" s="3" t="n">
        <v>2.055</v>
      </c>
      <c r="C25" s="3" t="n">
        <v>3220</v>
      </c>
      <c r="D25" s="3" t="n">
        <v>38.1</v>
      </c>
      <c r="E25" s="3" t="n">
        <v>60.34</v>
      </c>
      <c r="F25" s="3" t="n">
        <v>4.172</v>
      </c>
      <c r="G25" s="6">
        <f>(B25-B24)/B24</f>
        <v/>
      </c>
      <c r="H25" s="6">
        <f>(C25-C24)/C24</f>
        <v/>
      </c>
      <c r="I25" s="7">
        <f>B25/B2*100</f>
        <v/>
      </c>
      <c r="J25" s="7">
        <f>C25/C2*100</f>
        <v/>
      </c>
      <c r="K25" s="7">
        <f>D25/D2*100</f>
        <v/>
      </c>
      <c r="L25" s="7">
        <f>E25/E2*100</f>
        <v/>
      </c>
      <c r="M25" s="7">
        <f>F25/F2*100</f>
        <v/>
      </c>
      <c r="N25" s="3" t="n">
        <v>2.047</v>
      </c>
    </row>
    <row r="26">
      <c r="A26" s="2" t="n">
        <v>2024</v>
      </c>
      <c r="B26" s="2" t="n">
        <v>2.12</v>
      </c>
      <c r="C26" s="2" t="n">
        <v>3570</v>
      </c>
      <c r="D26" s="2" t="n">
        <v>39.2</v>
      </c>
      <c r="E26" s="2" t="n">
        <v>60.1</v>
      </c>
      <c r="F26" s="2" t="n">
        <v>4.05</v>
      </c>
      <c r="G26" s="8">
        <f>(B26-B25)/B25</f>
        <v/>
      </c>
      <c r="H26" s="8">
        <f>(C26-C25)/C25</f>
        <v/>
      </c>
      <c r="I26" s="5">
        <f>B26/B2*100</f>
        <v/>
      </c>
      <c r="J26" s="5">
        <f>C26/C2*100</f>
        <v/>
      </c>
      <c r="K26" s="5">
        <f>D26/D2*100</f>
        <v/>
      </c>
      <c r="L26" s="5">
        <f>E26/E2*100</f>
        <v/>
      </c>
      <c r="M26" s="5">
        <f>F26/F2*100</f>
        <v/>
      </c>
      <c r="N26" s="2" t="n">
        <v>2.11</v>
      </c>
    </row>
    <row r="27">
      <c r="A27" s="3" t="n">
        <v>2025</v>
      </c>
      <c r="B27" s="3" t="n">
        <v>2.18</v>
      </c>
      <c r="C27" s="3" t="n">
        <v>3870</v>
      </c>
      <c r="D27" s="3" t="n">
        <v>40.1</v>
      </c>
      <c r="E27" s="3" t="n">
        <v>59.9</v>
      </c>
      <c r="F27" s="3" t="n">
        <v>3.98</v>
      </c>
      <c r="G27" s="6">
        <f>(B27-B26)/B26</f>
        <v/>
      </c>
      <c r="H27" s="6">
        <f>(C27-C26)/C26</f>
        <v/>
      </c>
      <c r="I27" s="7">
        <f>B27/B2*100</f>
        <v/>
      </c>
      <c r="J27" s="7">
        <f>C27/C2*100</f>
        <v/>
      </c>
      <c r="K27" s="7">
        <f>D27/D2*100</f>
        <v/>
      </c>
      <c r="L27" s="7">
        <f>E27/E2*100</f>
        <v/>
      </c>
      <c r="M27" s="7">
        <f>F27/F2*100</f>
        <v/>
      </c>
      <c r="N27" s="3" t="n">
        <v>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30" customHeight="1">
      <c r="A1" s="9" t="inlineStr">
        <is>
          <t>Econometrics — OLS Regression Results</t>
        </is>
      </c>
      <c r="B1" s="10" t="n"/>
      <c r="C1" s="10" t="n"/>
      <c r="D1" s="10" t="n"/>
      <c r="E1" s="10" t="n"/>
      <c r="F1" s="11" t="n"/>
    </row>
    <row r="2">
      <c r="A2" s="12" t="inlineStr">
        <is>
          <t>Dependent Variable: CO₂ Emissions</t>
        </is>
      </c>
      <c r="B2" s="10" t="n"/>
      <c r="C2" s="10" t="n"/>
      <c r="D2" s="10" t="n"/>
      <c r="E2" s="10" t="n"/>
      <c r="F2" s="11" t="n"/>
    </row>
    <row r="3">
      <c r="A3" s="13" t="inlineStr">
        <is>
          <t>Model Fit Statistics</t>
        </is>
      </c>
    </row>
    <row r="4">
      <c r="A4" s="14" t="inlineStr">
        <is>
          <t>Metric</t>
        </is>
      </c>
      <c r="B4" s="14" t="inlineStr">
        <is>
          <t>Value</t>
        </is>
      </c>
    </row>
    <row r="5">
      <c r="A5" s="15" t="inlineStr">
        <is>
          <t>R-squared</t>
        </is>
      </c>
      <c r="B5" s="16" t="inlineStr">
        <is>
          <t>0.9898</t>
        </is>
      </c>
    </row>
    <row r="6">
      <c r="A6" s="17" t="inlineStr">
        <is>
          <t>Adjusted R-squared</t>
        </is>
      </c>
      <c r="B6" s="18" t="inlineStr">
        <is>
          <t>0.9878</t>
        </is>
      </c>
    </row>
    <row r="7">
      <c r="A7" s="15" t="inlineStr">
        <is>
          <t>F-statistic</t>
        </is>
      </c>
      <c r="B7" s="16" t="inlineStr">
        <is>
          <t>508.0198</t>
        </is>
      </c>
    </row>
    <row r="8">
      <c r="A8" s="17" t="inlineStr">
        <is>
          <t>Prob (F-statistic)</t>
        </is>
      </c>
      <c r="B8" s="18" t="inlineStr">
        <is>
          <t>0.0000</t>
        </is>
      </c>
    </row>
    <row r="9">
      <c r="A9" s="15" t="inlineStr">
        <is>
          <t>Durbin-Watson</t>
        </is>
      </c>
      <c r="B9" s="16" t="inlineStr">
        <is>
          <t>1.274</t>
        </is>
      </c>
    </row>
    <row r="10">
      <c r="A10" s="17" t="inlineStr">
        <is>
          <t>Std. Error of Regression</t>
        </is>
      </c>
      <c r="B10" s="18" t="inlineStr">
        <is>
          <t>0.04363</t>
        </is>
      </c>
    </row>
    <row r="11">
      <c r="A11" s="15" t="inlineStr">
        <is>
          <t>Observations</t>
        </is>
      </c>
      <c r="B11" s="16" t="inlineStr">
        <is>
          <t>26</t>
        </is>
      </c>
    </row>
    <row r="12">
      <c r="A12" s="17" t="inlineStr">
        <is>
          <t>AIC</t>
        </is>
      </c>
      <c r="B12" s="18" t="inlineStr">
        <is>
          <t>-70.85</t>
        </is>
      </c>
    </row>
    <row r="13">
      <c r="A13" s="15" t="inlineStr">
        <is>
          <t>Schwarz Criterion</t>
        </is>
      </c>
      <c r="B13" s="16" t="inlineStr">
        <is>
          <t>-68.65</t>
        </is>
      </c>
    </row>
    <row r="15">
      <c r="A15" s="19" t="inlineStr">
        <is>
          <t>Coefficient Estimates</t>
        </is>
      </c>
      <c r="B15" s="10" t="n"/>
      <c r="C15" s="10" t="n"/>
      <c r="D15" s="10" t="n"/>
      <c r="E15" s="10" t="n"/>
      <c r="F15" s="11" t="n"/>
    </row>
    <row r="16">
      <c r="A16" s="14" t="inlineStr">
        <is>
          <t>Variable</t>
        </is>
      </c>
      <c r="B16" s="14" t="inlineStr">
        <is>
          <t>Coefficient</t>
        </is>
      </c>
      <c r="C16" s="14" t="inlineStr">
        <is>
          <t>Std. Error</t>
        </is>
      </c>
      <c r="D16" s="14" t="inlineStr">
        <is>
          <t>t-Statistic</t>
        </is>
      </c>
      <c r="E16" s="14" t="inlineStr">
        <is>
          <t>p-value</t>
        </is>
      </c>
      <c r="F16" s="14" t="inlineStr">
        <is>
          <t>Significance</t>
        </is>
      </c>
    </row>
    <row r="17">
      <c r="A17" s="20" t="inlineStr">
        <is>
          <t>C (Constant)</t>
        </is>
      </c>
      <c r="B17" s="16" t="inlineStr">
        <is>
          <t>2.654181</t>
        </is>
      </c>
      <c r="C17" s="16" t="inlineStr">
        <is>
          <t>0.2611</t>
        </is>
      </c>
      <c r="D17" s="16" t="inlineStr">
        <is>
          <t>10.163</t>
        </is>
      </c>
      <c r="E17" s="16" t="inlineStr">
        <is>
          <t>0.0000</t>
        </is>
      </c>
      <c r="F17" s="21" t="inlineStr">
        <is>
          <t>***</t>
        </is>
      </c>
    </row>
    <row r="18">
      <c r="A18" s="22" t="inlineStr">
        <is>
          <t>GDP</t>
        </is>
      </c>
      <c r="B18" s="18" t="inlineStr">
        <is>
          <t>2.49E-13</t>
        </is>
      </c>
      <c r="C18" s="18" t="inlineStr">
        <is>
          <t>3.15E-14</t>
        </is>
      </c>
      <c r="D18" s="18" t="inlineStr">
        <is>
          <t>7.905</t>
        </is>
      </c>
      <c r="E18" s="18" t="inlineStr">
        <is>
          <t>0.0000</t>
        </is>
      </c>
      <c r="F18" s="23" t="inlineStr">
        <is>
          <t>***</t>
        </is>
      </c>
    </row>
    <row r="19">
      <c r="A19" s="20" t="inlineStr">
        <is>
          <t>HCE</t>
        </is>
      </c>
      <c r="B19" s="16" t="inlineStr">
        <is>
          <t>0.002579</t>
        </is>
      </c>
      <c r="C19" s="16" t="inlineStr">
        <is>
          <t>0.004365</t>
        </is>
      </c>
      <c r="D19" s="16" t="inlineStr">
        <is>
          <t>0.591</t>
        </is>
      </c>
      <c r="E19" s="16" t="inlineStr">
        <is>
          <t>0.5610</t>
        </is>
      </c>
      <c r="F19" s="24" t="inlineStr">
        <is>
          <t>ns</t>
        </is>
      </c>
    </row>
    <row r="20">
      <c r="A20" s="22" t="inlineStr">
        <is>
          <t>RENE</t>
        </is>
      </c>
      <c r="B20" s="18" t="inlineStr">
        <is>
          <t>-0.033491</t>
        </is>
      </c>
      <c r="C20" s="18" t="inlineStr">
        <is>
          <t>0.003843</t>
        </is>
      </c>
      <c r="D20" s="18" t="inlineStr">
        <is>
          <t>-8.716</t>
        </is>
      </c>
      <c r="E20" s="18" t="inlineStr">
        <is>
          <t>0.0000</t>
        </is>
      </c>
      <c r="F20" s="23" t="inlineStr">
        <is>
          <t>***</t>
        </is>
      </c>
    </row>
    <row r="21">
      <c r="A21" s="20" t="inlineStr">
        <is>
          <t>UN</t>
        </is>
      </c>
      <c r="B21" s="16" t="inlineStr">
        <is>
          <t>-0.069693</t>
        </is>
      </c>
      <c r="C21" s="16" t="inlineStr">
        <is>
          <t>0.020855</t>
        </is>
      </c>
      <c r="D21" s="16" t="inlineStr">
        <is>
          <t>-3.342</t>
        </is>
      </c>
      <c r="E21" s="16" t="inlineStr">
        <is>
          <t>0.0037</t>
        </is>
      </c>
      <c r="F21" s="21" t="inlineStr">
        <is>
          <t>**</t>
        </is>
      </c>
    </row>
    <row r="23">
      <c r="A23" s="25" t="inlineStr">
        <is>
          <t>*** p&lt;0.01   ** p&lt;0.05   * p&lt;0.10   ns = not significant</t>
        </is>
      </c>
      <c r="B23" s="10" t="n"/>
      <c r="C23" s="10" t="n"/>
      <c r="D23" s="10" t="n"/>
      <c r="E23" s="10" t="n"/>
      <c r="F23" s="11" t="n"/>
    </row>
  </sheetData>
  <mergeCells count="5">
    <mergeCell ref="A2:F2"/>
    <mergeCell ref="A1:F1"/>
    <mergeCell ref="A23:F23"/>
    <mergeCell ref="A3:B3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9" t="inlineStr">
        <is>
          <t>Granger Causality Test Results</t>
        </is>
      </c>
      <c r="B1" s="10" t="n"/>
      <c r="C1" s="10" t="n"/>
      <c r="D1" s="10" t="n"/>
      <c r="E1" s="10" t="n"/>
      <c r="F1" s="11" t="n"/>
    </row>
    <row r="2">
      <c r="A2" s="25" t="inlineStr">
        <is>
          <t>F-statistics with p-values in parentheses. Row = Dependent Variable, Column = Causal Variable.</t>
        </is>
      </c>
      <c r="B2" s="10" t="n"/>
      <c r="C2" s="10" t="n"/>
      <c r="D2" s="10" t="n"/>
      <c r="E2" s="10" t="n"/>
      <c r="F2" s="11" t="n"/>
    </row>
    <row r="3">
      <c r="A3" s="26" t="inlineStr">
        <is>
          <t>DV \ Cause</t>
        </is>
      </c>
      <c r="B3" s="27" t="inlineStr">
        <is>
          <t>CO2</t>
        </is>
      </c>
      <c r="C3" s="27" t="inlineStr">
        <is>
          <t>GDP</t>
        </is>
      </c>
      <c r="D3" s="27" t="inlineStr">
        <is>
          <t>HCE</t>
        </is>
      </c>
      <c r="E3" s="27" t="inlineStr">
        <is>
          <t>RENE</t>
        </is>
      </c>
      <c r="F3" s="27" t="inlineStr">
        <is>
          <t>UN</t>
        </is>
      </c>
    </row>
    <row r="4">
      <c r="A4" s="27" t="inlineStr">
        <is>
          <t>CO2</t>
        </is>
      </c>
      <c r="B4" s="28" t="inlineStr">
        <is>
          <t>—</t>
        </is>
      </c>
      <c r="C4" s="29" t="inlineStr">
        <is>
          <t>1.15 (0.338)</t>
        </is>
      </c>
      <c r="D4" s="29" t="inlineStr">
        <is>
          <t>0.50 (0.615)</t>
        </is>
      </c>
      <c r="E4" s="29" t="inlineStr">
        <is>
          <t>0.35 (0.710)</t>
        </is>
      </c>
      <c r="F4" s="29" t="inlineStr">
        <is>
          <t>1.37 (0.278)</t>
        </is>
      </c>
    </row>
    <row r="5">
      <c r="A5" s="27" t="inlineStr">
        <is>
          <t>GDP</t>
        </is>
      </c>
      <c r="B5" s="28" t="inlineStr">
        <is>
          <t>—</t>
        </is>
      </c>
      <c r="C5" s="28" t="inlineStr">
        <is>
          <t>—</t>
        </is>
      </c>
      <c r="D5" s="29" t="inlineStr">
        <is>
          <t>1.61 (0.225)</t>
        </is>
      </c>
      <c r="E5" s="29" t="inlineStr">
        <is>
          <t>0.83 (0.452)</t>
        </is>
      </c>
      <c r="F5" s="30" t="inlineStr">
        <is>
          <t>4.93** (0.019)</t>
        </is>
      </c>
    </row>
    <row r="6">
      <c r="A6" s="27" t="inlineStr">
        <is>
          <t>HCE</t>
        </is>
      </c>
      <c r="B6" s="28" t="inlineStr">
        <is>
          <t>—</t>
        </is>
      </c>
      <c r="C6" s="31" t="inlineStr">
        <is>
          <t>2.71* (0.092)</t>
        </is>
      </c>
      <c r="D6" s="28" t="inlineStr">
        <is>
          <t>—</t>
        </is>
      </c>
      <c r="E6" s="30" t="inlineStr">
        <is>
          <t>4.20** (0.031)</t>
        </is>
      </c>
      <c r="F6" s="29" t="inlineStr">
        <is>
          <t>0.20 (0.818)</t>
        </is>
      </c>
    </row>
    <row r="7">
      <c r="A7" s="27" t="inlineStr">
        <is>
          <t>RENE</t>
        </is>
      </c>
      <c r="B7" s="28" t="inlineStr">
        <is>
          <t>—</t>
        </is>
      </c>
      <c r="C7" s="30" t="inlineStr">
        <is>
          <t>5.24** (0.015)</t>
        </is>
      </c>
      <c r="D7" s="32" t="inlineStr">
        <is>
          <t>6.72*** (0.006)</t>
        </is>
      </c>
      <c r="E7" s="28" t="inlineStr">
        <is>
          <t>—</t>
        </is>
      </c>
      <c r="F7" s="32" t="inlineStr">
        <is>
          <t>7.40*** (0.004)</t>
        </is>
      </c>
    </row>
    <row r="8">
      <c r="A8" s="27" t="inlineStr">
        <is>
          <t>UN</t>
        </is>
      </c>
      <c r="B8" s="28" t="inlineStr">
        <is>
          <t>—</t>
        </is>
      </c>
      <c r="C8" s="29" t="inlineStr">
        <is>
          <t>1.54 (0.241)</t>
        </is>
      </c>
      <c r="D8" s="29" t="inlineStr">
        <is>
          <t>0.45 (0.645)</t>
        </is>
      </c>
      <c r="E8" s="29" t="inlineStr">
        <is>
          <t>0.94 (0.407)</t>
        </is>
      </c>
      <c r="F8" s="28" t="inlineStr">
        <is>
          <t>—</t>
        </is>
      </c>
    </row>
    <row r="10">
      <c r="A10" s="25" t="inlineStr">
        <is>
          <t>*** sig. at 1%   ** sig. at 5%   * sig. at 10%</t>
        </is>
      </c>
      <c r="B10" s="10" t="n"/>
      <c r="C10" s="10" t="n"/>
      <c r="D10" s="10" t="n"/>
      <c r="E10" s="10" t="n"/>
      <c r="F10" s="11" t="n"/>
    </row>
    <row r="12">
      <c r="A12" s="33" t="inlineStr">
        <is>
          <t>Key Findings</t>
        </is>
      </c>
      <c r="B12" s="10" t="n"/>
      <c r="C12" s="10" t="n"/>
      <c r="D12" s="10" t="n"/>
      <c r="E12" s="10" t="n"/>
      <c r="F12" s="11" t="n"/>
    </row>
    <row r="13">
      <c r="A13" s="15" t="inlineStr">
        <is>
          <t>RENE → GDP (F=5.24, p=0.015): Renewable energy Granger-causes economic growth.</t>
        </is>
      </c>
      <c r="B13" s="10" t="n"/>
      <c r="C13" s="10" t="n"/>
      <c r="D13" s="10" t="n"/>
      <c r="E13" s="10" t="n"/>
      <c r="F13" s="11" t="n"/>
    </row>
    <row r="14">
      <c r="A14" s="17" t="inlineStr">
        <is>
          <t>RENE → HCE (F=6.72, p=0.006): Renewable energy Granger-causes household consumption.</t>
        </is>
      </c>
      <c r="B14" s="10" t="n"/>
      <c r="C14" s="10" t="n"/>
      <c r="D14" s="10" t="n"/>
      <c r="E14" s="10" t="n"/>
      <c r="F14" s="11" t="n"/>
    </row>
    <row r="15">
      <c r="A15" s="15" t="inlineStr">
        <is>
          <t>RENE → UN (F=7.40, p=0.004): Renewable energy Granger-causes unemployment (job creation).</t>
        </is>
      </c>
      <c r="B15" s="10" t="n"/>
      <c r="C15" s="10" t="n"/>
      <c r="D15" s="10" t="n"/>
      <c r="E15" s="10" t="n"/>
      <c r="F15" s="11" t="n"/>
    </row>
    <row r="16">
      <c r="A16" s="17" t="inlineStr">
        <is>
          <t>HCE → RENE (F=4.20, p=0.031): Consumption demand Granger-causes renewable energy adoption.</t>
        </is>
      </c>
      <c r="B16" s="10" t="n"/>
      <c r="C16" s="10" t="n"/>
      <c r="D16" s="10" t="n"/>
      <c r="E16" s="10" t="n"/>
      <c r="F16" s="11" t="n"/>
    </row>
    <row r="17">
      <c r="A17" s="15" t="inlineStr">
        <is>
          <t>UN → GDP (F=4.93, p=0.019): Unemployment Granger-causes GDP — labor markets matter.</t>
        </is>
      </c>
      <c r="B17" s="10" t="n"/>
      <c r="C17" s="10" t="n"/>
      <c r="D17" s="10" t="n"/>
      <c r="E17" s="10" t="n"/>
      <c r="F17" s="11" t="n"/>
    </row>
    <row r="18">
      <c r="A18" s="17" t="inlineStr">
        <is>
          <t>CO₂ does not Granger-cause any variable — emissions are an outcome, not a driver.</t>
        </is>
      </c>
      <c r="B18" s="10" t="n"/>
      <c r="C18" s="10" t="n"/>
      <c r="D18" s="10" t="n"/>
      <c r="E18" s="10" t="n"/>
      <c r="F18" s="11" t="n"/>
    </row>
  </sheetData>
  <mergeCells count="10">
    <mergeCell ref="A2:F2"/>
    <mergeCell ref="A16:F16"/>
    <mergeCell ref="A10:F10"/>
    <mergeCell ref="A13:F13"/>
    <mergeCell ref="A14:F14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9" t="inlineStr">
        <is>
          <t>Descriptive Statistics — Econometrics Study (2000–2025)</t>
        </is>
      </c>
      <c r="B1" s="10" t="n"/>
      <c r="C1" s="10" t="n"/>
      <c r="D1" s="10" t="n"/>
      <c r="E1" s="10" t="n"/>
      <c r="F1" s="10" t="n"/>
      <c r="G1" s="11" t="n"/>
    </row>
    <row r="2">
      <c r="A2" s="14" t="inlineStr">
        <is>
          <t>Variable</t>
        </is>
      </c>
      <c r="B2" s="14" t="inlineStr">
        <is>
          <t>Mean</t>
        </is>
      </c>
      <c r="C2" s="14" t="inlineStr">
        <is>
          <t>Median</t>
        </is>
      </c>
      <c r="D2" s="14" t="inlineStr">
        <is>
          <t>Min</t>
        </is>
      </c>
      <c r="E2" s="14" t="inlineStr">
        <is>
          <t>Max</t>
        </is>
      </c>
      <c r="F2" s="14" t="inlineStr">
        <is>
          <t>Std Dev</t>
        </is>
      </c>
      <c r="G2" s="14" t="inlineStr">
        <is>
          <t>Observations</t>
        </is>
      </c>
    </row>
    <row r="3">
      <c r="A3" s="15" t="inlineStr">
        <is>
          <t>CO2 (metric tons)</t>
        </is>
      </c>
      <c r="B3" s="34">
        <f>AVERAGE('Raw Data'!B2:B27)</f>
        <v/>
      </c>
      <c r="C3" s="34">
        <f>MEDIAN('Raw Data'!B2:B27)</f>
        <v/>
      </c>
      <c r="D3" s="34">
        <f>MIN('Raw Data'!B2:B27)</f>
        <v/>
      </c>
      <c r="E3" s="34">
        <f>MAX('Raw Data'!B2:B27)</f>
        <v/>
      </c>
      <c r="F3" s="34">
        <f>STDEV('Raw Data'!B2:B27)</f>
        <v/>
      </c>
      <c r="G3" s="34">
        <f>COUNT('Raw Data'!B2:B27)</f>
        <v/>
      </c>
    </row>
    <row r="4">
      <c r="A4" s="17" t="inlineStr">
        <is>
          <t>GDP (USD Billion)</t>
        </is>
      </c>
      <c r="B4" s="35">
        <f>AVERAGE('Raw Data'!C2:C27)</f>
        <v/>
      </c>
      <c r="C4" s="35">
        <f>MEDIAN('Raw Data'!C2:C27)</f>
        <v/>
      </c>
      <c r="D4" s="35">
        <f>MIN('Raw Data'!C2:C27)</f>
        <v/>
      </c>
      <c r="E4" s="35">
        <f>MAX('Raw Data'!C2:C27)</f>
        <v/>
      </c>
      <c r="F4" s="35">
        <f>STDEV('Raw Data'!C2:C27)</f>
        <v/>
      </c>
      <c r="G4" s="35">
        <f>COUNT('Raw Data'!C2:C27)</f>
        <v/>
      </c>
    </row>
    <row r="5">
      <c r="A5" s="15" t="inlineStr">
        <is>
          <t>Renewable Energy (%)</t>
        </is>
      </c>
      <c r="B5" s="34">
        <f>AVERAGE('Raw Data'!D2:D27)</f>
        <v/>
      </c>
      <c r="C5" s="34">
        <f>MEDIAN('Raw Data'!D2:D27)</f>
        <v/>
      </c>
      <c r="D5" s="34">
        <f>MIN('Raw Data'!D2:D27)</f>
        <v/>
      </c>
      <c r="E5" s="34">
        <f>MAX('Raw Data'!D2:D27)</f>
        <v/>
      </c>
      <c r="F5" s="34">
        <f>STDEV('Raw Data'!D2:D27)</f>
        <v/>
      </c>
      <c r="G5" s="34">
        <f>COUNT('Raw Data'!D2:D27)</f>
        <v/>
      </c>
    </row>
    <row r="6">
      <c r="A6" s="17" t="inlineStr">
        <is>
          <t>HCE (%)</t>
        </is>
      </c>
      <c r="B6" s="35">
        <f>AVERAGE('Raw Data'!E2:E27)</f>
        <v/>
      </c>
      <c r="C6" s="35">
        <f>MEDIAN('Raw Data'!E2:E27)</f>
        <v/>
      </c>
      <c r="D6" s="35">
        <f>MIN('Raw Data'!E2:E27)</f>
        <v/>
      </c>
      <c r="E6" s="35">
        <f>MAX('Raw Data'!E2:E27)</f>
        <v/>
      </c>
      <c r="F6" s="35">
        <f>STDEV('Raw Data'!E2:E27)</f>
        <v/>
      </c>
      <c r="G6" s="35">
        <f>COUNT('Raw Data'!E2:E27)</f>
        <v/>
      </c>
    </row>
    <row r="7">
      <c r="A7" s="15" t="inlineStr">
        <is>
          <t>Unemployment (%)</t>
        </is>
      </c>
      <c r="B7" s="34">
        <f>AVERAGE('Raw Data'!F2:F27)</f>
        <v/>
      </c>
      <c r="C7" s="34">
        <f>MEDIAN('Raw Data'!F2:F27)</f>
        <v/>
      </c>
      <c r="D7" s="34">
        <f>MIN('Raw Data'!F2:F27)</f>
        <v/>
      </c>
      <c r="E7" s="34">
        <f>MAX('Raw Data'!F2:F27)</f>
        <v/>
      </c>
      <c r="F7" s="34">
        <f>STDEV('Raw Data'!F2:F27)</f>
        <v/>
      </c>
      <c r="G7" s="34">
        <f>COUNT('Raw Data'!F2:F27)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30" customHeight="1">
      <c r="A1" s="36" t="inlineStr">
        <is>
          <t>How to Import This File into Power BI Desktop</t>
        </is>
      </c>
      <c r="B1" s="11" t="n"/>
    </row>
    <row r="2" ht="20" customHeight="1">
      <c r="A2" s="37" t="inlineStr">
        <is>
          <t>STEP 1 — Open Power BI Desktop</t>
        </is>
      </c>
      <c r="B2" s="38" t="inlineStr">
        <is>
          <t>Download free from: microsoft.com/en-us/power-bi/desktop</t>
        </is>
      </c>
    </row>
    <row r="3" ht="20" customHeight="1">
      <c r="A3" s="39" t="inlineStr">
        <is>
          <t>STEP 2 — Import data</t>
        </is>
      </c>
      <c r="B3" s="40" t="inlineStr">
        <is>
          <t>Home tab → Get Data → Excel Workbook → select this file → load sheets: Raw Data + Calculated Columns</t>
        </is>
      </c>
    </row>
    <row r="4" ht="20" customHeight="1">
      <c r="A4" s="37" t="inlineStr">
        <is>
          <t>STEP 3 — Build KPI Cards</t>
        </is>
      </c>
      <c r="B4" s="38" t="inlineStr">
        <is>
          <t>Insert → Card visual → drag CO2, GDP, RENE, HCE, UN fields one per card</t>
        </is>
      </c>
    </row>
    <row r="5" ht="20" customHeight="1">
      <c r="A5" s="39" t="inlineStr">
        <is>
          <t>STEP 4 — CO2 vs GDP Chart</t>
        </is>
      </c>
      <c r="B5" s="40" t="inlineStr">
        <is>
          <t>Insert → Line and Clustered Column Chart → X-axis: Year, Line: CO2, Column: GDP</t>
        </is>
      </c>
    </row>
    <row r="6" ht="20" customHeight="1">
      <c r="A6" s="37" t="inlineStr">
        <is>
          <t>STEP 5 — Renewable Energy Trend</t>
        </is>
      </c>
      <c r="B6" s="38" t="inlineStr">
        <is>
          <t>Insert → Area Chart → X-axis: Year, Values: RENE (%)</t>
        </is>
      </c>
    </row>
    <row r="7" ht="20" customHeight="1">
      <c r="A7" s="39" t="inlineStr">
        <is>
          <t>STEP 6 — Normalised Index Chart</t>
        </is>
      </c>
      <c r="B7" s="40" t="inlineStr">
        <is>
          <t>Insert → Line Chart → X-axis: Year, Values: all 5 Index columns from Calculated Columns</t>
        </is>
      </c>
    </row>
    <row r="8" ht="20" customHeight="1">
      <c r="A8" s="37" t="inlineStr">
        <is>
          <t>STEP 7 — Scatter Plot</t>
        </is>
      </c>
      <c r="B8" s="38" t="inlineStr">
        <is>
          <t>Insert → Scatter Chart → X: RENE (%), Y: CO2, Values: Year</t>
        </is>
      </c>
    </row>
    <row r="9" ht="20" customHeight="1">
      <c r="A9" s="39" t="inlineStr">
        <is>
          <t>STEP 8 — GDP YoY Bar Chart</t>
        </is>
      </c>
      <c r="B9" s="40" t="inlineStr">
        <is>
          <t>Insert → Clustered Bar → X-axis: Year, Values: GDP YoY % (from Calculated Columns)</t>
        </is>
      </c>
    </row>
    <row r="10" ht="20" customHeight="1">
      <c r="A10" s="37" t="inlineStr">
        <is>
          <t>STEP 9 — Regression Table</t>
        </is>
      </c>
      <c r="B10" s="38" t="inlineStr">
        <is>
          <t>Insert → Table visual → add all columns from Regression Results sheet manually</t>
        </is>
      </c>
    </row>
    <row r="11" ht="20" customHeight="1">
      <c r="A11" s="39" t="inlineStr">
        <is>
          <t>STEP 10 — Dark Theme</t>
        </is>
      </c>
      <c r="B11" s="40" t="inlineStr">
        <is>
          <t>View tab → Themes → Dark (or choose a custom dark theme)</t>
        </is>
      </c>
    </row>
    <row r="12" ht="20" customHeight="1">
      <c r="A12" s="37" t="inlineStr">
        <is>
          <t>STEP 11 — Year Slicer</t>
        </is>
      </c>
      <c r="B12" s="38" t="inlineStr">
        <is>
          <t>Insert → Slicer → Field: Year → set to range slider style</t>
        </is>
      </c>
    </row>
    <row r="13" ht="20" customHeight="1">
      <c r="A13" s="39" t="inlineStr">
        <is>
          <t>STEP 12 — Save as .pbix</t>
        </is>
      </c>
      <c r="B13" s="40" t="inlineStr">
        <is>
          <t>File → Save As → name it Econometrics_Dashboard.pbix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2026-03-24T18:10:06Z</dcterms:created>
  <dcterms:modified xmlns:dcterms="http://purl.org/dc/terms/" xmlns:xsi="http://www.w3.org/2001/XMLSchema-instance" xsi:type="dcterms:W3CDTF">2026-03-24T18:10:06Z</dcterms:modified>
</cp:coreProperties>
</file>